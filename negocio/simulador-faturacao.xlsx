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" sheetId="1" state="visible" r:id="rId1"/>
    <sheet name="Fluxo de c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;(#,##0 &quot;€&quot;);-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  <color rgb="000000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A8552B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0" pivotButton="0" quotePrefix="0" xfId="0"/>
    <xf numFmtId="164" fontId="4" fillId="0" borderId="0" pivotButton="0" quotePrefix="0" xfId="0"/>
    <xf numFmtId="165" fontId="5" fillId="3" borderId="0" pivotButton="0" quotePrefix="0" xfId="0"/>
    <xf numFmtId="165" fontId="6" fillId="3" borderId="0" pivotButton="0" quotePrefix="0" xfId="0"/>
    <xf numFmtId="164" fontId="7" fillId="0" borderId="0" pivotButton="0" quotePrefix="0" xfId="0"/>
    <xf numFmtId="3" fontId="5" fillId="3" borderId="0" pivotButton="0" quotePrefix="0" xfId="0"/>
    <xf numFmtId="3" fontId="4" fillId="0" borderId="0" pivotButton="0" quotePrefix="0" xfId="0"/>
    <xf numFmtId="165" fontId="7" fillId="0" borderId="0" pivotButton="0" quotePrefix="0" xfId="0"/>
    <xf numFmtId="3" fontId="7" fillId="4" borderId="0" applyAlignment="1" pivotButton="0" quotePrefix="0" xfId="0">
      <alignment horizontal="center"/>
    </xf>
    <xf numFmtId="165" fontId="7" fillId="4" borderId="0" pivotButton="0" quotePrefix="0" xfId="0"/>
    <xf numFmtId="0" fontId="7" fillId="0" borderId="0" pivotButton="0" quotePrefix="0" xfId="0"/>
    <xf numFmtId="3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Quanto Custa Casar</author>
  </authors>
  <commentList>
    <comment ref="B5" authorId="0" shapeId="0">
      <text>
        <t>Valor de referência do simulador: 100 convidados, Lisboa, época alta, casamento clássico com tudo incluído. Varia entre ~19 600 € (Centro, fora de época, intimista) e ~47 650 € (Lisboa, sofisticado).</t>
      </text>
    </comment>
    <comment ref="B6" authorId="0" shapeId="0">
      <text>
        <t>Rubricas de retalho no cenário de referência: vestido 1 800 + fato 700 + alianças 1 100. O casal compra onde quer; não há comissão.</t>
      </text>
    </comment>
    <comment ref="B8" authorId="0" shapeId="0">
      <text>
        <t>53% corresponde ao casal fechar convosco os quatro serviços grandes — quinta, catering, fotografia e música (≈16 800 € de 31 700 €). Ponha 100% para o cenário em que contrata tudo através de vocês.</t>
      </text>
    </comment>
    <comment ref="B10" authorId="0" shapeId="0">
      <text>
        <t>A decisão mais importante do modelo. 1% é o valor que indicou; quem traz clientes a quintas e fornecedores costuma ficar entre 5% e 15%.</t>
      </text>
    </comment>
    <comment ref="B14" authorId="0" shapeId="0">
      <text>
        <t>Casais que efetivamente contratam através de parceiros — não leads recebidas.</t>
      </text>
    </comment>
    <comment ref="B15" authorId="0" shapeId="0">
      <text>
        <t>Estimativa a confirmar com as primeiras campanhas. Uma lead de simulador raramente fecha mais do que uma em dez.</t>
      </text>
    </comment>
    <comment ref="B17" authorId="0" shapeId="0">
      <text>
        <t>A confirmar com as primeiras campanhas no Instagram e Facebook. Varia muito com o público e a época.</t>
      </text>
    </comment>
    <comment ref="B19" authorId="0" shapeId="0">
      <text>
        <t>Valor indicativo; ajustar aos planos contratados.</t>
      </text>
    </comment>
    <comment ref="B27" authorId="0" shapeId="0">
      <text>
        <t>Percentagem de comissão a partir da qual a faturação cobre campanhas e custos fixos, com este volume e este custo por lead.</t>
      </text>
    </comment>
  </commentList>
</comments>
</file>

<file path=xl/comments/comment2.xml><?xml version="1.0" encoding="utf-8"?>
<comments xmlns="http://schemas.openxmlformats.org/spreadsheetml/2006/main">
  <authors>
    <author>Quanto Custa Casar</author>
  </authors>
  <commentList>
    <comment ref="B4" authorId="0" shapeId="0">
      <text>
        <t>Os casamentos fecham 12 a 18 meses antes do dia. Se os parceiros pagarem uma parte no sinal, baixe este valor.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Quanto Custa Casar — simulador de faturação</t>
        </is>
      </c>
    </row>
    <row r="2">
      <c r="A2" s="2" t="inlineStr">
        <is>
          <t>Legenda: texto azul com fundo amarelo = valores que pode alterar. Preto = fórmulas, não mexer.</t>
        </is>
      </c>
    </row>
    <row r="4">
      <c r="A4" s="3" t="inlineStr">
        <is>
          <t>1. Pressupostos por casal</t>
        </is>
      </c>
      <c r="B4" s="4" t="n"/>
      <c r="C4" s="4" t="n"/>
      <c r="D4" s="4" t="n"/>
    </row>
    <row r="5">
      <c r="A5" s="5" t="inlineStr">
        <is>
          <t>Valor médio do casamento (€)</t>
        </is>
      </c>
      <c r="B5" s="6" t="n">
        <v>35300</v>
      </c>
    </row>
    <row r="6">
      <c r="A6" s="5" t="inlineStr">
        <is>
          <t>Retalho que não passa por parceiros (€) — vestido, fato, alianças</t>
        </is>
      </c>
      <c r="B6" s="6" t="n">
        <v>3600</v>
      </c>
    </row>
    <row r="7">
      <c r="A7" s="5" t="inlineStr">
        <is>
          <t>Valor comissionável máximo por casal (€)</t>
        </is>
      </c>
      <c r="B7" s="7">
        <f>B5-B6</f>
        <v/>
      </c>
    </row>
    <row r="8">
      <c r="A8" s="5" t="inlineStr">
        <is>
          <t>Parte do comissionável contratada via parceiros (%)</t>
        </is>
      </c>
      <c r="B8" s="8" t="n">
        <v>0.53</v>
      </c>
    </row>
    <row r="9">
      <c r="A9" s="5" t="inlineStr">
        <is>
          <t>Valor contratado via parceiros por casal (€)</t>
        </is>
      </c>
      <c r="B9" s="7">
        <f>B7*B8</f>
        <v/>
      </c>
    </row>
    <row r="10">
      <c r="A10" s="5" t="inlineStr">
        <is>
          <t>Comissão sobre o valor contratado (%)</t>
        </is>
      </c>
      <c r="B10" s="9" t="n">
        <v>0.01</v>
      </c>
    </row>
    <row r="11">
      <c r="A11" s="5" t="inlineStr">
        <is>
          <t>Comissão por casal fechado (€)</t>
        </is>
      </c>
      <c r="B11" s="10">
        <f>B9*B10</f>
        <v/>
      </c>
    </row>
    <row r="13">
      <c r="A13" s="3" t="inlineStr">
        <is>
          <t>2. Volume e campanhas (por mês)</t>
        </is>
      </c>
      <c r="B13" s="4" t="n"/>
      <c r="C13" s="4" t="n"/>
      <c r="D13" s="4" t="n"/>
    </row>
    <row r="14">
      <c r="A14" s="5" t="inlineStr">
        <is>
          <t>Casais fechados por mês</t>
        </is>
      </c>
      <c r="B14" s="11" t="n">
        <v>10</v>
      </c>
    </row>
    <row r="15">
      <c r="A15" s="5" t="inlineStr">
        <is>
          <t>Taxa de conversão de lead em casal fechado (%)</t>
        </is>
      </c>
      <c r="B15" s="8" t="n">
        <v>0.08</v>
      </c>
    </row>
    <row r="16">
      <c r="A16" s="5" t="inlineStr">
        <is>
          <t>Leads necessárias por mês</t>
        </is>
      </c>
      <c r="B16" s="12">
        <f>IF(B15&gt;0,B14/B15,0)</f>
        <v/>
      </c>
    </row>
    <row r="17">
      <c r="A17" s="5" t="inlineStr">
        <is>
          <t>Custo por lead em anúncios (€)</t>
        </is>
      </c>
      <c r="B17" s="6" t="n">
        <v>5</v>
      </c>
    </row>
    <row r="18">
      <c r="A18" s="5" t="inlineStr">
        <is>
          <t>Custo mensal das campanhas (€)</t>
        </is>
      </c>
      <c r="B18" s="7">
        <f>B16*B17</f>
        <v/>
      </c>
    </row>
    <row r="19">
      <c r="A19" s="5" t="inlineStr">
        <is>
          <t>Custos fixos mensais (€) — Formspree, domínio, email, etc.</t>
        </is>
      </c>
      <c r="B19" s="6" t="n">
        <v>30</v>
      </c>
    </row>
    <row r="21">
      <c r="A21" s="3" t="inlineStr">
        <is>
          <t>3. Resultado</t>
        </is>
      </c>
      <c r="B21" s="4" t="n"/>
      <c r="C21" s="4" t="n"/>
      <c r="D21" s="4" t="n"/>
    </row>
    <row r="22">
      <c r="A22" s="5" t="inlineStr">
        <is>
          <t>Faturação mensal em comissões (€)</t>
        </is>
      </c>
      <c r="B22" s="10">
        <f>B11*B14</f>
        <v/>
      </c>
    </row>
    <row r="23">
      <c r="A23" s="5" t="inlineStr">
        <is>
          <t>Faturação anual em comissões (€)</t>
        </is>
      </c>
      <c r="B23" s="10">
        <f>B22*12</f>
        <v/>
      </c>
    </row>
    <row r="24">
      <c r="A24" s="5" t="inlineStr">
        <is>
          <t>Custos mensais (campanhas + fixos) (€)</t>
        </is>
      </c>
      <c r="B24" s="7">
        <f>B18+B19</f>
        <v/>
      </c>
    </row>
    <row r="25">
      <c r="A25" s="5" t="inlineStr">
        <is>
          <t>Margem mensal (€)</t>
        </is>
      </c>
      <c r="B25" s="10">
        <f>B22-B24</f>
        <v/>
      </c>
    </row>
    <row r="26">
      <c r="A26" s="5" t="inlineStr">
        <is>
          <t>Margem anual (€)</t>
        </is>
      </c>
      <c r="B26" s="10">
        <f>B25*12</f>
        <v/>
      </c>
    </row>
    <row r="27">
      <c r="A27" s="5" t="inlineStr">
        <is>
          <t>Comissão mínima para as campanhas se pagarem (%)</t>
        </is>
      </c>
      <c r="B27" s="13">
        <f>IF(B9*B14&gt;0,B24/(B9*B14),0)</f>
        <v/>
      </c>
    </row>
    <row r="29">
      <c r="A29" s="3" t="inlineStr">
        <is>
          <t>4. Faturação mensal por comissão e por casais fechados (€)</t>
        </is>
      </c>
      <c r="B29" s="4" t="n"/>
      <c r="C29" s="4" t="n"/>
      <c r="D29" s="4" t="n"/>
    </row>
    <row r="30">
      <c r="A30" s="2" t="inlineStr">
        <is>
          <t>Comissão  →  casais fechados por mês</t>
        </is>
      </c>
      <c r="B30" s="14" t="n">
        <v>5</v>
      </c>
      <c r="C30" s="14" t="n">
        <v>10</v>
      </c>
      <c r="D30" s="14" t="n">
        <v>20</v>
      </c>
      <c r="E30" s="14" t="n">
        <v>30</v>
      </c>
    </row>
    <row r="31">
      <c r="A31" s="15" t="n">
        <v>0.01</v>
      </c>
      <c r="B31" s="7">
        <f>$B$9*$A31*B$30</f>
        <v/>
      </c>
      <c r="C31" s="7">
        <f>$B$9*$A31*C$30</f>
        <v/>
      </c>
      <c r="D31" s="7">
        <f>$B$9*$A31*D$30</f>
        <v/>
      </c>
      <c r="E31" s="7">
        <f>$B$9*$A31*E$30</f>
        <v/>
      </c>
    </row>
    <row r="32">
      <c r="A32" s="15" t="n">
        <v>0.02</v>
      </c>
      <c r="B32" s="7">
        <f>$B$9*$A32*B$30</f>
        <v/>
      </c>
      <c r="C32" s="7">
        <f>$B$9*$A32*C$30</f>
        <v/>
      </c>
      <c r="D32" s="7">
        <f>$B$9*$A32*D$30</f>
        <v/>
      </c>
      <c r="E32" s="7">
        <f>$B$9*$A32*E$30</f>
        <v/>
      </c>
    </row>
    <row r="33">
      <c r="A33" s="15" t="n">
        <v>0.03</v>
      </c>
      <c r="B33" s="7">
        <f>$B$9*$A33*B$30</f>
        <v/>
      </c>
      <c r="C33" s="7">
        <f>$B$9*$A33*C$30</f>
        <v/>
      </c>
      <c r="D33" s="7">
        <f>$B$9*$A33*D$30</f>
        <v/>
      </c>
      <c r="E33" s="7">
        <f>$B$9*$A33*E$30</f>
        <v/>
      </c>
    </row>
    <row r="34">
      <c r="A34" s="15" t="n">
        <v>0.05</v>
      </c>
      <c r="B34" s="7">
        <f>$B$9*$A34*B$30</f>
        <v/>
      </c>
      <c r="C34" s="7">
        <f>$B$9*$A34*C$30</f>
        <v/>
      </c>
      <c r="D34" s="7">
        <f>$B$9*$A34*D$30</f>
        <v/>
      </c>
      <c r="E34" s="7">
        <f>$B$9*$A34*E$30</f>
        <v/>
      </c>
    </row>
    <row r="35">
      <c r="A35" s="15" t="n">
        <v>0.08</v>
      </c>
      <c r="B35" s="7">
        <f>$B$9*$A35*B$30</f>
        <v/>
      </c>
      <c r="C35" s="7">
        <f>$B$9*$A35*C$30</f>
        <v/>
      </c>
      <c r="D35" s="7">
        <f>$B$9*$A35*D$30</f>
        <v/>
      </c>
      <c r="E35" s="7">
        <f>$B$9*$A35*E$30</f>
        <v/>
      </c>
    </row>
    <row r="36">
      <c r="A36" s="15" t="n">
        <v>0.1</v>
      </c>
      <c r="B36" s="7">
        <f>$B$9*$A36*B$30</f>
        <v/>
      </c>
      <c r="C36" s="7">
        <f>$B$9*$A36*C$30</f>
        <v/>
      </c>
      <c r="D36" s="7">
        <f>$B$9*$A36*D$30</f>
        <v/>
      </c>
      <c r="E36" s="7">
        <f>$B$9*$A36*E$30</f>
        <v/>
      </c>
    </row>
    <row r="38">
      <c r="A38" s="16" t="inlineStr">
        <is>
          <t>Margem mensal por comissão, com o volume e os custos da secção 2 (€)</t>
        </is>
      </c>
    </row>
    <row r="39">
      <c r="A39" s="15" t="n">
        <v>0.01</v>
      </c>
      <c r="B39" s="7">
        <f>$B$9*$A39*$B$14-$B$24</f>
        <v/>
      </c>
    </row>
    <row r="40">
      <c r="A40" s="15" t="n">
        <v>0.02</v>
      </c>
      <c r="B40" s="7">
        <f>$B$9*$A40*$B$14-$B$24</f>
        <v/>
      </c>
    </row>
    <row r="41">
      <c r="A41" s="15" t="n">
        <v>0.03</v>
      </c>
      <c r="B41" s="7">
        <f>$B$9*$A41*$B$14-$B$24</f>
        <v/>
      </c>
    </row>
    <row r="42">
      <c r="A42" s="15" t="n">
        <v>0.05</v>
      </c>
      <c r="B42" s="7">
        <f>$B$9*$A42*$B$14-$B$24</f>
        <v/>
      </c>
    </row>
    <row r="43">
      <c r="A43" s="15" t="n">
        <v>0.08</v>
      </c>
      <c r="B43" s="7">
        <f>$B$9*$A43*$B$14-$B$24</f>
        <v/>
      </c>
    </row>
    <row r="44">
      <c r="A44" s="15" t="n">
        <v>0.1</v>
      </c>
      <c r="B44" s="7">
        <f>$B$9*$A44*$B$14-$B$24</f>
        <v/>
      </c>
    </row>
    <row r="46">
      <c r="A46" s="2" t="inlineStr">
        <is>
          <t>Nota: a sensibilidade usa o valor contratado por casal (B9) e, na margem, os custos da secção 2. O custo das campanhas não muda com a comissão.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Fluxo de caixa a 24 meses</t>
        </is>
      </c>
    </row>
    <row r="2">
      <c r="A2" s="2" t="inlineStr">
        <is>
          <t>A comissão só é recebida quando o fornecedor é pago — em regra perto do dia do casamento, muito depois do fecho.</t>
        </is>
      </c>
    </row>
    <row r="4">
      <c r="A4" s="5" t="inlineStr">
        <is>
          <t>Meses entre o fecho e o recebimento da comissão</t>
        </is>
      </c>
      <c r="B4" s="11" t="n">
        <v>12</v>
      </c>
    </row>
    <row r="5">
      <c r="A5" s="5" t="inlineStr">
        <is>
          <t>Mês de arranque das campanhas</t>
        </is>
      </c>
      <c r="B5" s="11" t="n">
        <v>1</v>
      </c>
    </row>
    <row r="7">
      <c r="A7" s="16" t="inlineStr">
        <is>
          <t>Mês</t>
        </is>
      </c>
      <c r="B7" s="17" t="n">
        <v>1</v>
      </c>
      <c r="C7" s="17" t="n">
        <v>2</v>
      </c>
      <c r="D7" s="17" t="n">
        <v>3</v>
      </c>
      <c r="E7" s="17" t="n">
        <v>4</v>
      </c>
      <c r="F7" s="17" t="n">
        <v>5</v>
      </c>
      <c r="G7" s="17" t="n">
        <v>6</v>
      </c>
      <c r="H7" s="17" t="n">
        <v>7</v>
      </c>
      <c r="I7" s="17" t="n">
        <v>8</v>
      </c>
      <c r="J7" s="17" t="n">
        <v>9</v>
      </c>
      <c r="K7" s="17" t="n">
        <v>10</v>
      </c>
      <c r="L7" s="17" t="n">
        <v>11</v>
      </c>
      <c r="M7" s="17" t="n">
        <v>12</v>
      </c>
      <c r="N7" s="17" t="n">
        <v>13</v>
      </c>
      <c r="O7" s="17" t="n">
        <v>14</v>
      </c>
      <c r="P7" s="17" t="n">
        <v>15</v>
      </c>
      <c r="Q7" s="17" t="n">
        <v>16</v>
      </c>
      <c r="R7" s="17" t="n">
        <v>17</v>
      </c>
      <c r="S7" s="17" t="n">
        <v>18</v>
      </c>
      <c r="T7" s="17" t="n">
        <v>19</v>
      </c>
      <c r="U7" s="17" t="n">
        <v>20</v>
      </c>
      <c r="V7" s="17" t="n">
        <v>21</v>
      </c>
      <c r="W7" s="17" t="n">
        <v>22</v>
      </c>
      <c r="X7" s="17" t="n">
        <v>23</v>
      </c>
      <c r="Y7" s="17" t="n">
        <v>24</v>
      </c>
    </row>
    <row r="8">
      <c r="A8" s="5" t="inlineStr">
        <is>
          <t>Casais fechados</t>
        </is>
      </c>
      <c r="B8" s="12">
        <f>IF(B$7&gt;=$B$5,Modelo!$B$14,0)</f>
        <v/>
      </c>
      <c r="C8" s="12">
        <f>IF(C$7&gt;=$B$5,Modelo!$B$14,0)</f>
        <v/>
      </c>
      <c r="D8" s="12">
        <f>IF(D$7&gt;=$B$5,Modelo!$B$14,0)</f>
        <v/>
      </c>
      <c r="E8" s="12">
        <f>IF(E$7&gt;=$B$5,Modelo!$B$14,0)</f>
        <v/>
      </c>
      <c r="F8" s="12">
        <f>IF(F$7&gt;=$B$5,Modelo!$B$14,0)</f>
        <v/>
      </c>
      <c r="G8" s="12">
        <f>IF(G$7&gt;=$B$5,Modelo!$B$14,0)</f>
        <v/>
      </c>
      <c r="H8" s="12">
        <f>IF(H$7&gt;=$B$5,Modelo!$B$14,0)</f>
        <v/>
      </c>
      <c r="I8" s="12">
        <f>IF(I$7&gt;=$B$5,Modelo!$B$14,0)</f>
        <v/>
      </c>
      <c r="J8" s="12">
        <f>IF(J$7&gt;=$B$5,Modelo!$B$14,0)</f>
        <v/>
      </c>
      <c r="K8" s="12">
        <f>IF(K$7&gt;=$B$5,Modelo!$B$14,0)</f>
        <v/>
      </c>
      <c r="L8" s="12">
        <f>IF(L$7&gt;=$B$5,Modelo!$B$14,0)</f>
        <v/>
      </c>
      <c r="M8" s="12">
        <f>IF(M$7&gt;=$B$5,Modelo!$B$14,0)</f>
        <v/>
      </c>
      <c r="N8" s="12">
        <f>IF(N$7&gt;=$B$5,Modelo!$B$14,0)</f>
        <v/>
      </c>
      <c r="O8" s="12">
        <f>IF(O$7&gt;=$B$5,Modelo!$B$14,0)</f>
        <v/>
      </c>
      <c r="P8" s="12">
        <f>IF(P$7&gt;=$B$5,Modelo!$B$14,0)</f>
        <v/>
      </c>
      <c r="Q8" s="12">
        <f>IF(Q$7&gt;=$B$5,Modelo!$B$14,0)</f>
        <v/>
      </c>
      <c r="R8" s="12">
        <f>IF(R$7&gt;=$B$5,Modelo!$B$14,0)</f>
        <v/>
      </c>
      <c r="S8" s="12">
        <f>IF(S$7&gt;=$B$5,Modelo!$B$14,0)</f>
        <v/>
      </c>
      <c r="T8" s="12">
        <f>IF(T$7&gt;=$B$5,Modelo!$B$14,0)</f>
        <v/>
      </c>
      <c r="U8" s="12">
        <f>IF(U$7&gt;=$B$5,Modelo!$B$14,0)</f>
        <v/>
      </c>
      <c r="V8" s="12">
        <f>IF(V$7&gt;=$B$5,Modelo!$B$14,0)</f>
        <v/>
      </c>
      <c r="W8" s="12">
        <f>IF(W$7&gt;=$B$5,Modelo!$B$14,0)</f>
        <v/>
      </c>
      <c r="X8" s="12">
        <f>IF(X$7&gt;=$B$5,Modelo!$B$14,0)</f>
        <v/>
      </c>
      <c r="Y8" s="12">
        <f>IF(Y$7&gt;=$B$5,Modelo!$B$14,0)</f>
        <v/>
      </c>
    </row>
    <row r="9">
      <c r="A9" s="5" t="inlineStr">
        <is>
          <t>Comissões geradas pelos fechos (€)</t>
        </is>
      </c>
      <c r="B9" s="7">
        <f>B8*Modelo!$B$11</f>
        <v/>
      </c>
      <c r="C9" s="7">
        <f>C8*Modelo!$B$11</f>
        <v/>
      </c>
      <c r="D9" s="7">
        <f>D8*Modelo!$B$11</f>
        <v/>
      </c>
      <c r="E9" s="7">
        <f>E8*Modelo!$B$11</f>
        <v/>
      </c>
      <c r="F9" s="7">
        <f>F8*Modelo!$B$11</f>
        <v/>
      </c>
      <c r="G9" s="7">
        <f>G8*Modelo!$B$11</f>
        <v/>
      </c>
      <c r="H9" s="7">
        <f>H8*Modelo!$B$11</f>
        <v/>
      </c>
      <c r="I9" s="7">
        <f>I8*Modelo!$B$11</f>
        <v/>
      </c>
      <c r="J9" s="7">
        <f>J8*Modelo!$B$11</f>
        <v/>
      </c>
      <c r="K9" s="7">
        <f>K8*Modelo!$B$11</f>
        <v/>
      </c>
      <c r="L9" s="7">
        <f>L8*Modelo!$B$11</f>
        <v/>
      </c>
      <c r="M9" s="7">
        <f>M8*Modelo!$B$11</f>
        <v/>
      </c>
      <c r="N9" s="7">
        <f>N8*Modelo!$B$11</f>
        <v/>
      </c>
      <c r="O9" s="7">
        <f>O8*Modelo!$B$11</f>
        <v/>
      </c>
      <c r="P9" s="7">
        <f>P8*Modelo!$B$11</f>
        <v/>
      </c>
      <c r="Q9" s="7">
        <f>Q8*Modelo!$B$11</f>
        <v/>
      </c>
      <c r="R9" s="7">
        <f>R8*Modelo!$B$11</f>
        <v/>
      </c>
      <c r="S9" s="7">
        <f>S8*Modelo!$B$11</f>
        <v/>
      </c>
      <c r="T9" s="7">
        <f>T8*Modelo!$B$11</f>
        <v/>
      </c>
      <c r="U9" s="7">
        <f>U8*Modelo!$B$11</f>
        <v/>
      </c>
      <c r="V9" s="7">
        <f>V8*Modelo!$B$11</f>
        <v/>
      </c>
      <c r="W9" s="7">
        <f>W8*Modelo!$B$11</f>
        <v/>
      </c>
      <c r="X9" s="7">
        <f>X8*Modelo!$B$11</f>
        <v/>
      </c>
      <c r="Y9" s="7">
        <f>Y8*Modelo!$B$11</f>
        <v/>
      </c>
    </row>
    <row r="10">
      <c r="A10" s="5" t="inlineStr">
        <is>
          <t>Comissões recebidas (€)</t>
        </is>
      </c>
      <c r="B10" s="7">
        <f>IF(B$7-$B$4&gt;=1,INDEX($B$9:$Y$9,1,B$7-$B$4),0)</f>
        <v/>
      </c>
      <c r="C10" s="7">
        <f>IF(C$7-$B$4&gt;=1,INDEX($B$9:$Y$9,1,C$7-$B$4),0)</f>
        <v/>
      </c>
      <c r="D10" s="7">
        <f>IF(D$7-$B$4&gt;=1,INDEX($B$9:$Y$9,1,D$7-$B$4),0)</f>
        <v/>
      </c>
      <c r="E10" s="7">
        <f>IF(E$7-$B$4&gt;=1,INDEX($B$9:$Y$9,1,E$7-$B$4),0)</f>
        <v/>
      </c>
      <c r="F10" s="7">
        <f>IF(F$7-$B$4&gt;=1,INDEX($B$9:$Y$9,1,F$7-$B$4),0)</f>
        <v/>
      </c>
      <c r="G10" s="7">
        <f>IF(G$7-$B$4&gt;=1,INDEX($B$9:$Y$9,1,G$7-$B$4),0)</f>
        <v/>
      </c>
      <c r="H10" s="7">
        <f>IF(H$7-$B$4&gt;=1,INDEX($B$9:$Y$9,1,H$7-$B$4),0)</f>
        <v/>
      </c>
      <c r="I10" s="7">
        <f>IF(I$7-$B$4&gt;=1,INDEX($B$9:$Y$9,1,I$7-$B$4),0)</f>
        <v/>
      </c>
      <c r="J10" s="7">
        <f>IF(J$7-$B$4&gt;=1,INDEX($B$9:$Y$9,1,J$7-$B$4),0)</f>
        <v/>
      </c>
      <c r="K10" s="7">
        <f>IF(K$7-$B$4&gt;=1,INDEX($B$9:$Y$9,1,K$7-$B$4),0)</f>
        <v/>
      </c>
      <c r="L10" s="7">
        <f>IF(L$7-$B$4&gt;=1,INDEX($B$9:$Y$9,1,L$7-$B$4),0)</f>
        <v/>
      </c>
      <c r="M10" s="7">
        <f>IF(M$7-$B$4&gt;=1,INDEX($B$9:$Y$9,1,M$7-$B$4),0)</f>
        <v/>
      </c>
      <c r="N10" s="7">
        <f>IF(N$7-$B$4&gt;=1,INDEX($B$9:$Y$9,1,N$7-$B$4),0)</f>
        <v/>
      </c>
      <c r="O10" s="7">
        <f>IF(O$7-$B$4&gt;=1,INDEX($B$9:$Y$9,1,O$7-$B$4),0)</f>
        <v/>
      </c>
      <c r="P10" s="7">
        <f>IF(P$7-$B$4&gt;=1,INDEX($B$9:$Y$9,1,P$7-$B$4),0)</f>
        <v/>
      </c>
      <c r="Q10" s="7">
        <f>IF(Q$7-$B$4&gt;=1,INDEX($B$9:$Y$9,1,Q$7-$B$4),0)</f>
        <v/>
      </c>
      <c r="R10" s="7">
        <f>IF(R$7-$B$4&gt;=1,INDEX($B$9:$Y$9,1,R$7-$B$4),0)</f>
        <v/>
      </c>
      <c r="S10" s="7">
        <f>IF(S$7-$B$4&gt;=1,INDEX($B$9:$Y$9,1,S$7-$B$4),0)</f>
        <v/>
      </c>
      <c r="T10" s="7">
        <f>IF(T$7-$B$4&gt;=1,INDEX($B$9:$Y$9,1,T$7-$B$4),0)</f>
        <v/>
      </c>
      <c r="U10" s="7">
        <f>IF(U$7-$B$4&gt;=1,INDEX($B$9:$Y$9,1,U$7-$B$4),0)</f>
        <v/>
      </c>
      <c r="V10" s="7">
        <f>IF(V$7-$B$4&gt;=1,INDEX($B$9:$Y$9,1,V$7-$B$4),0)</f>
        <v/>
      </c>
      <c r="W10" s="7">
        <f>IF(W$7-$B$4&gt;=1,INDEX($B$9:$Y$9,1,W$7-$B$4),0)</f>
        <v/>
      </c>
      <c r="X10" s="7">
        <f>IF(X$7-$B$4&gt;=1,INDEX($B$9:$Y$9,1,X$7-$B$4),0)</f>
        <v/>
      </c>
      <c r="Y10" s="7">
        <f>IF(Y$7-$B$4&gt;=1,INDEX($B$9:$Y$9,1,Y$7-$B$4),0)</f>
        <v/>
      </c>
    </row>
    <row r="11">
      <c r="A11" s="5" t="inlineStr">
        <is>
          <t>Custos (campanhas + fixos) (€)</t>
        </is>
      </c>
      <c r="B11" s="7">
        <f>IF(B$7&gt;=$B$5,Modelo!$B$24,Modelo!$B$19)</f>
        <v/>
      </c>
      <c r="C11" s="7">
        <f>IF(C$7&gt;=$B$5,Modelo!$B$24,Modelo!$B$19)</f>
        <v/>
      </c>
      <c r="D11" s="7">
        <f>IF(D$7&gt;=$B$5,Modelo!$B$24,Modelo!$B$19)</f>
        <v/>
      </c>
      <c r="E11" s="7">
        <f>IF(E$7&gt;=$B$5,Modelo!$B$24,Modelo!$B$19)</f>
        <v/>
      </c>
      <c r="F11" s="7">
        <f>IF(F$7&gt;=$B$5,Modelo!$B$24,Modelo!$B$19)</f>
        <v/>
      </c>
      <c r="G11" s="7">
        <f>IF(G$7&gt;=$B$5,Modelo!$B$24,Modelo!$B$19)</f>
        <v/>
      </c>
      <c r="H11" s="7">
        <f>IF(H$7&gt;=$B$5,Modelo!$B$24,Modelo!$B$19)</f>
        <v/>
      </c>
      <c r="I11" s="7">
        <f>IF(I$7&gt;=$B$5,Modelo!$B$24,Modelo!$B$19)</f>
        <v/>
      </c>
      <c r="J11" s="7">
        <f>IF(J$7&gt;=$B$5,Modelo!$B$24,Modelo!$B$19)</f>
        <v/>
      </c>
      <c r="K11" s="7">
        <f>IF(K$7&gt;=$B$5,Modelo!$B$24,Modelo!$B$19)</f>
        <v/>
      </c>
      <c r="L11" s="7">
        <f>IF(L$7&gt;=$B$5,Modelo!$B$24,Modelo!$B$19)</f>
        <v/>
      </c>
      <c r="M11" s="7">
        <f>IF(M$7&gt;=$B$5,Modelo!$B$24,Modelo!$B$19)</f>
        <v/>
      </c>
      <c r="N11" s="7">
        <f>IF(N$7&gt;=$B$5,Modelo!$B$24,Modelo!$B$19)</f>
        <v/>
      </c>
      <c r="O11" s="7">
        <f>IF(O$7&gt;=$B$5,Modelo!$B$24,Modelo!$B$19)</f>
        <v/>
      </c>
      <c r="P11" s="7">
        <f>IF(P$7&gt;=$B$5,Modelo!$B$24,Modelo!$B$19)</f>
        <v/>
      </c>
      <c r="Q11" s="7">
        <f>IF(Q$7&gt;=$B$5,Modelo!$B$24,Modelo!$B$19)</f>
        <v/>
      </c>
      <c r="R11" s="7">
        <f>IF(R$7&gt;=$B$5,Modelo!$B$24,Modelo!$B$19)</f>
        <v/>
      </c>
      <c r="S11" s="7">
        <f>IF(S$7&gt;=$B$5,Modelo!$B$24,Modelo!$B$19)</f>
        <v/>
      </c>
      <c r="T11" s="7">
        <f>IF(T$7&gt;=$B$5,Modelo!$B$24,Modelo!$B$19)</f>
        <v/>
      </c>
      <c r="U11" s="7">
        <f>IF(U$7&gt;=$B$5,Modelo!$B$24,Modelo!$B$19)</f>
        <v/>
      </c>
      <c r="V11" s="7">
        <f>IF(V$7&gt;=$B$5,Modelo!$B$24,Modelo!$B$19)</f>
        <v/>
      </c>
      <c r="W11" s="7">
        <f>IF(W$7&gt;=$B$5,Modelo!$B$24,Modelo!$B$19)</f>
        <v/>
      </c>
      <c r="X11" s="7">
        <f>IF(X$7&gt;=$B$5,Modelo!$B$24,Modelo!$B$19)</f>
        <v/>
      </c>
      <c r="Y11" s="7">
        <f>IF(Y$7&gt;=$B$5,Modelo!$B$24,Modelo!$B$19)</f>
        <v/>
      </c>
    </row>
    <row r="12">
      <c r="A12" s="16" t="inlineStr">
        <is>
          <t>Saldo do mês (€)</t>
        </is>
      </c>
      <c r="B12" s="10">
        <f>B10-B11</f>
        <v/>
      </c>
      <c r="C12" s="10">
        <f>C10-C11</f>
        <v/>
      </c>
      <c r="D12" s="10">
        <f>D10-D11</f>
        <v/>
      </c>
      <c r="E12" s="10">
        <f>E10-E11</f>
        <v/>
      </c>
      <c r="F12" s="10">
        <f>F10-F11</f>
        <v/>
      </c>
      <c r="G12" s="10">
        <f>G10-G11</f>
        <v/>
      </c>
      <c r="H12" s="10">
        <f>H10-H11</f>
        <v/>
      </c>
      <c r="I12" s="10">
        <f>I10-I11</f>
        <v/>
      </c>
      <c r="J12" s="10">
        <f>J10-J11</f>
        <v/>
      </c>
      <c r="K12" s="10">
        <f>K10-K11</f>
        <v/>
      </c>
      <c r="L12" s="10">
        <f>L10-L11</f>
        <v/>
      </c>
      <c r="M12" s="10">
        <f>M10-M11</f>
        <v/>
      </c>
      <c r="N12" s="10">
        <f>N10-N11</f>
        <v/>
      </c>
      <c r="O12" s="10">
        <f>O10-O11</f>
        <v/>
      </c>
      <c r="P12" s="10">
        <f>P10-P11</f>
        <v/>
      </c>
      <c r="Q12" s="10">
        <f>Q10-Q11</f>
        <v/>
      </c>
      <c r="R12" s="10">
        <f>R10-R11</f>
        <v/>
      </c>
      <c r="S12" s="10">
        <f>S10-S11</f>
        <v/>
      </c>
      <c r="T12" s="10">
        <f>T10-T11</f>
        <v/>
      </c>
      <c r="U12" s="10">
        <f>U10-U11</f>
        <v/>
      </c>
      <c r="V12" s="10">
        <f>V10-V11</f>
        <v/>
      </c>
      <c r="W12" s="10">
        <f>W10-W11</f>
        <v/>
      </c>
      <c r="X12" s="10">
        <f>X10-X11</f>
        <v/>
      </c>
      <c r="Y12" s="10">
        <f>Y10-Y11</f>
        <v/>
      </c>
    </row>
    <row r="13">
      <c r="A13" s="16" t="inlineStr">
        <is>
          <t>Saldo acumulado (€)</t>
        </is>
      </c>
      <c r="B13" s="10">
        <f>B12</f>
        <v/>
      </c>
      <c r="C13" s="10">
        <f>B13+C12</f>
        <v/>
      </c>
      <c r="D13" s="10">
        <f>C13+D12</f>
        <v/>
      </c>
      <c r="E13" s="10">
        <f>D13+E12</f>
        <v/>
      </c>
      <c r="F13" s="10">
        <f>E13+F12</f>
        <v/>
      </c>
      <c r="G13" s="10">
        <f>F13+G12</f>
        <v/>
      </c>
      <c r="H13" s="10">
        <f>G13+H12</f>
        <v/>
      </c>
      <c r="I13" s="10">
        <f>H13+I12</f>
        <v/>
      </c>
      <c r="J13" s="10">
        <f>I13+J12</f>
        <v/>
      </c>
      <c r="K13" s="10">
        <f>J13+K12</f>
        <v/>
      </c>
      <c r="L13" s="10">
        <f>K13+L12</f>
        <v/>
      </c>
      <c r="M13" s="10">
        <f>L13+M12</f>
        <v/>
      </c>
      <c r="N13" s="10">
        <f>M13+N12</f>
        <v/>
      </c>
      <c r="O13" s="10">
        <f>N13+O12</f>
        <v/>
      </c>
      <c r="P13" s="10">
        <f>O13+P12</f>
        <v/>
      </c>
      <c r="Q13" s="10">
        <f>P13+Q12</f>
        <v/>
      </c>
      <c r="R13" s="10">
        <f>Q13+R12</f>
        <v/>
      </c>
      <c r="S13" s="10">
        <f>R13+S12</f>
        <v/>
      </c>
      <c r="T13" s="10">
        <f>S13+T12</f>
        <v/>
      </c>
      <c r="U13" s="10">
        <f>T13+U12</f>
        <v/>
      </c>
      <c r="V13" s="10">
        <f>U13+V12</f>
        <v/>
      </c>
      <c r="W13" s="10">
        <f>V13+W12</f>
        <v/>
      </c>
      <c r="X13" s="10">
        <f>W13+X12</f>
        <v/>
      </c>
      <c r="Y13" s="10">
        <f>X13+Y12</f>
        <v/>
      </c>
    </row>
    <row r="15">
      <c r="A15" s="16" t="inlineStr">
        <is>
          <t>Total recebido em 24 meses (€)</t>
        </is>
      </c>
      <c r="B15" s="10">
        <f>SUM(B10:Y10)</f>
        <v/>
      </c>
    </row>
    <row r="16">
      <c r="A16" s="16" t="inlineStr">
        <is>
          <t>Total de custos em 24 meses (€)</t>
        </is>
      </c>
      <c r="B16" s="10">
        <f>SUM(B11:Y11)</f>
        <v/>
      </c>
    </row>
    <row r="17">
      <c r="A17" s="16" t="inlineStr">
        <is>
          <t>Comissões geradas mas ainda por receber no fim dos 24 meses (€)</t>
        </is>
      </c>
      <c r="B17" s="10">
        <f>SUM(B9:Y9)-B15</f>
        <v/>
      </c>
    </row>
    <row r="18">
      <c r="A18" s="16" t="inlineStr">
        <is>
          <t>Pior saldo acumulado — o fundo de maneio necessário (€)</t>
        </is>
      </c>
      <c r="B18" s="10">
        <f>MIN(B13:Y13)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2026-09-06T18:42:58Z</dcterms:created>
  <dcterms:modified xsi:type="dcterms:W3CDTF">2026-09-06T18:50:45Z</dcterms:modified>
</cp:coreProperties>
</file>